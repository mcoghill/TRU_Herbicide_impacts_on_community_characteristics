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tru-my.sharepoint.com/personal/jsingh_tru_ca/Documents/TRU_manuscript/Rachel/PRS_data/Rachel data/Rachel data/"/>
    </mc:Choice>
  </mc:AlternateContent>
  <xr:revisionPtr revIDLastSave="23" documentId="13_ncr:1_{91574BA0-0E64-494D-A094-D123EE6B21BB}" xr6:coauthVersionLast="47" xr6:coauthVersionMax="47" xr10:uidLastSave="{76063F3C-6E7C-4BFA-8C11-56D3B094D097}"/>
  <bookViews>
    <workbookView xWindow="28680" yWindow="-120" windowWidth="29040" windowHeight="15720" xr2:uid="{20D6EF53-622C-3646-A384-F183B1AEE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F39" i="1"/>
  <c r="F38" i="1"/>
  <c r="F8" i="1"/>
  <c r="F3" i="1"/>
  <c r="F4" i="1"/>
  <c r="F5" i="1"/>
  <c r="F6" i="1"/>
  <c r="F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sharedStrings.xml><?xml version="1.0" encoding="utf-8"?>
<sst xmlns="http://schemas.openxmlformats.org/spreadsheetml/2006/main" count="162" uniqueCount="99">
  <si>
    <t>Latin name</t>
  </si>
  <si>
    <t>Common name</t>
  </si>
  <si>
    <t>Family</t>
  </si>
  <si>
    <t>Invasive</t>
  </si>
  <si>
    <t xml:space="preserve">Leguminous </t>
  </si>
  <si>
    <t xml:space="preserve">Spotted knapweed </t>
  </si>
  <si>
    <t>Pink twink</t>
  </si>
  <si>
    <t>Mullein</t>
  </si>
  <si>
    <t>Prickly lettuce</t>
  </si>
  <si>
    <t>American vetch</t>
  </si>
  <si>
    <t>Yarrow</t>
  </si>
  <si>
    <t>Gallairdia</t>
  </si>
  <si>
    <t>Small wallflower</t>
  </si>
  <si>
    <t>Desert parsley</t>
  </si>
  <si>
    <t>Slender collomia</t>
  </si>
  <si>
    <t>Blue forget-me-not</t>
  </si>
  <si>
    <t>Idaho fescue</t>
  </si>
  <si>
    <t>Crested wheatgrass</t>
  </si>
  <si>
    <t xml:space="preserve">June grass </t>
  </si>
  <si>
    <t>Hairy aster</t>
  </si>
  <si>
    <t>Buckwheat</t>
  </si>
  <si>
    <t>Desert alyssum</t>
  </si>
  <si>
    <t>Holboell’s Rockcress</t>
  </si>
  <si>
    <t xml:space="preserve">Yellow salsify/Goats beard </t>
  </si>
  <si>
    <t xml:space="preserve">Nuttal's pussytoes </t>
  </si>
  <si>
    <t>Dandelion</t>
  </si>
  <si>
    <t>Thyme leaved sandwort</t>
  </si>
  <si>
    <t>Peppergrass</t>
  </si>
  <si>
    <t>Parsnip flowered buckwheat</t>
  </si>
  <si>
    <t>Bluebunch wheatgrass</t>
  </si>
  <si>
    <t>Kentucky bluegrass</t>
  </si>
  <si>
    <t>Sandberg bluegrass</t>
  </si>
  <si>
    <t xml:space="preserve">Baltic rush </t>
  </si>
  <si>
    <t xml:space="preserve">Tall tumble mustard </t>
  </si>
  <si>
    <t>Goldenrod</t>
  </si>
  <si>
    <t xml:space="preserve">Lemon weed    </t>
  </si>
  <si>
    <t>Fringed willowherb</t>
  </si>
  <si>
    <t xml:space="preserve">Lupinus sericea </t>
  </si>
  <si>
    <t xml:space="preserve">Symphyotrichum ericoides </t>
  </si>
  <si>
    <t xml:space="preserve">Cut-leaved daisy </t>
  </si>
  <si>
    <t xml:space="preserve">Kochia </t>
  </si>
  <si>
    <t xml:space="preserve">Eriogonum flavum </t>
  </si>
  <si>
    <t xml:space="preserve">Alyssum allysoides </t>
  </si>
  <si>
    <t xml:space="preserve">Erigeron compositus </t>
  </si>
  <si>
    <t xml:space="preserve">Kochia scoparia </t>
  </si>
  <si>
    <t xml:space="preserve">Microsteris gracilis </t>
  </si>
  <si>
    <t xml:space="preserve">Tragopogon dubius </t>
  </si>
  <si>
    <t xml:space="preserve">Arabis holboellii </t>
  </si>
  <si>
    <t xml:space="preserve">Epilobium ciliatum </t>
  </si>
  <si>
    <t xml:space="preserve">Verbascum thapsus </t>
  </si>
  <si>
    <t xml:space="preserve">Sisymbrium altissimum </t>
  </si>
  <si>
    <t xml:space="preserve">Solidago canadensis </t>
  </si>
  <si>
    <t xml:space="preserve">Lactuca serriola </t>
  </si>
  <si>
    <t xml:space="preserve">Vicia americana </t>
  </si>
  <si>
    <t xml:space="preserve">Achillea millefolium </t>
  </si>
  <si>
    <t xml:space="preserve">Antennaria parvifolia </t>
  </si>
  <si>
    <t xml:space="preserve">Taraxacum officinale </t>
  </si>
  <si>
    <t xml:space="preserve">Arenaria serpyllifolia </t>
  </si>
  <si>
    <t xml:space="preserve">Lepidium latifolium </t>
  </si>
  <si>
    <t xml:space="preserve">Gallairdia aristata </t>
  </si>
  <si>
    <t xml:space="preserve">Erysimum inconspicuum </t>
  </si>
  <si>
    <t xml:space="preserve">Lomatium macrocarpum </t>
  </si>
  <si>
    <t xml:space="preserve">Collomia tenella </t>
  </si>
  <si>
    <t xml:space="preserve">Myosotis stricta </t>
  </si>
  <si>
    <t xml:space="preserve">Eriogonum heracleoides </t>
  </si>
  <si>
    <t xml:space="preserve">Bromus tectorum </t>
  </si>
  <si>
    <t>Cheatgrass</t>
  </si>
  <si>
    <t xml:space="preserve">Pascopyrum smithii </t>
  </si>
  <si>
    <t xml:space="preserve">Poa pratensis </t>
  </si>
  <si>
    <t>Festuca idahoensis</t>
  </si>
  <si>
    <t>Agropyron cristatum</t>
  </si>
  <si>
    <t>Koeleria macrantha</t>
  </si>
  <si>
    <t xml:space="preserve">Poa secunda </t>
  </si>
  <si>
    <t>Juncus balticus</t>
  </si>
  <si>
    <t>Fabaceae</t>
  </si>
  <si>
    <t>Boraginaceae</t>
  </si>
  <si>
    <t>Polygonaceae</t>
  </si>
  <si>
    <t>Asteraceae</t>
  </si>
  <si>
    <t>Brassicaceae</t>
  </si>
  <si>
    <t>Onagraceae</t>
  </si>
  <si>
    <t>Caryophyllaceae</t>
  </si>
  <si>
    <t>Apiaceae</t>
  </si>
  <si>
    <t>Polemoniaceae</t>
  </si>
  <si>
    <t>Poaceae</t>
  </si>
  <si>
    <t>Juncaceae</t>
  </si>
  <si>
    <t>Graminoid</t>
  </si>
  <si>
    <t>Functional Group</t>
  </si>
  <si>
    <t>Amaranthaceae</t>
  </si>
  <si>
    <t>Scrophulariaceae</t>
  </si>
  <si>
    <t>Forb</t>
  </si>
  <si>
    <t>Silky lupine</t>
  </si>
  <si>
    <t xml:space="preserve">Lithospermum ruderal </t>
  </si>
  <si>
    <t>Intermediate wheatgrass</t>
  </si>
  <si>
    <t>Thinopyrum intermedium</t>
  </si>
  <si>
    <t>Porcupine grass</t>
  </si>
  <si>
    <t>Hesperostipa spartea</t>
  </si>
  <si>
    <t>Meadow brome</t>
  </si>
  <si>
    <t>Bromus commutatus</t>
  </si>
  <si>
    <t>Centaurea stoebe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</si>
</sst>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color theme="1"/>
      <name val="Aptos Narrow"/>
      <family val="2"/>
      <scheme val="minor"/>
    </font>
    <font>
      <i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B942-A100-EA44-9882-4CA67FA2CC97}">
  <dimension ref="A1:F40"/>
  <sheetViews>
    <sheetView tabSelected="1" zoomScaleNormal="110" workbookViewId="0">
      <selection activeCell="B2" sqref="B2"/>
    </sheetView>
  </sheetViews>
  <sheetFormatPr defaultColWidth="11" defaultRowHeight="15.75" x14ac:dyDescent="0.25"/>
  <cols>
    <col min="1" max="1" width="41.375" bestFit="1" customWidth="1"/>
    <col min="2" max="2" width="24.875" style="3" bestFit="1" customWidth="1"/>
    <col min="3" max="3" width="14.5" bestFit="1" customWidth="1"/>
    <col min="4" max="4" width="10.875" style="7"/>
    <col min="5" max="5" width="16.625" bestFit="1" customWidth="1"/>
    <col min="6" max="6" width="12.375" style="1" bestFit="1" customWidth="1"/>
  </cols>
  <sheetData>
    <row r="1" spans="1:6" x14ac:dyDescent="0.25">
      <c r="A1" s="4" t="s">
        <v>1</v>
      </c>
      <c r="B1" s="4" t="s">
        <v>0</v>
      </c>
      <c r="C1" s="4" t="s">
        <v>2</v>
      </c>
      <c r="D1" s="5" t="s">
        <v>3</v>
      </c>
      <c r="E1" s="4" t="s">
        <v>86</v>
      </c>
      <c r="F1" s="4" t="s">
        <v>4</v>
      </c>
    </row>
    <row r="2" spans="1:6" x14ac:dyDescent="0.25">
      <c r="A2" s="1" t="s">
        <v>5</v>
      </c>
      <c r="B2" s="2" t="s">
        <v>98</v>
      </c>
      <c r="C2" s="1" t="s">
        <v>77</v>
      </c>
      <c r="D2" s="6" t="b">
        <v>1</v>
      </c>
      <c r="E2" s="1" t="s">
        <v>89</v>
      </c>
      <c r="F2" s="1" t="str">
        <f>IF(C2="Fabaceae","TRUE","FALSE")</f>
        <v>FALSE</v>
      </c>
    </row>
    <row r="3" spans="1:6" x14ac:dyDescent="0.25">
      <c r="A3" s="1" t="s">
        <v>90</v>
      </c>
      <c r="B3" s="2" t="s">
        <v>37</v>
      </c>
      <c r="C3" s="1" t="s">
        <v>74</v>
      </c>
      <c r="D3" s="6" t="b">
        <v>0</v>
      </c>
      <c r="E3" s="1" t="s">
        <v>89</v>
      </c>
      <c r="F3" s="1" t="str">
        <f t="shared" ref="F3:F38" si="0">IF(C3="Fabaceae","TRUE","FALSE")</f>
        <v>TRUE</v>
      </c>
    </row>
    <row r="4" spans="1:6" x14ac:dyDescent="0.25">
      <c r="A4" s="1" t="s">
        <v>35</v>
      </c>
      <c r="B4" s="2" t="s">
        <v>91</v>
      </c>
      <c r="C4" s="1" t="s">
        <v>75</v>
      </c>
      <c r="D4" s="6" t="b">
        <v>0</v>
      </c>
      <c r="E4" s="1" t="s">
        <v>89</v>
      </c>
      <c r="F4" s="1" t="str">
        <f t="shared" si="0"/>
        <v>FALSE</v>
      </c>
    </row>
    <row r="5" spans="1:6" x14ac:dyDescent="0.25">
      <c r="A5" s="1" t="s">
        <v>19</v>
      </c>
      <c r="B5" s="2" t="s">
        <v>38</v>
      </c>
      <c r="C5" s="1" t="s">
        <v>77</v>
      </c>
      <c r="D5" s="6" t="b">
        <v>0</v>
      </c>
      <c r="E5" s="1" t="s">
        <v>89</v>
      </c>
      <c r="F5" s="1" t="str">
        <f t="shared" si="0"/>
        <v>FALSE</v>
      </c>
    </row>
    <row r="6" spans="1:6" x14ac:dyDescent="0.25">
      <c r="A6" s="1" t="s">
        <v>20</v>
      </c>
      <c r="B6" s="2" t="s">
        <v>41</v>
      </c>
      <c r="C6" s="1" t="s">
        <v>76</v>
      </c>
      <c r="D6" s="6" t="b">
        <v>0</v>
      </c>
      <c r="E6" s="1" t="s">
        <v>89</v>
      </c>
      <c r="F6" s="1" t="str">
        <f t="shared" si="0"/>
        <v>FALSE</v>
      </c>
    </row>
    <row r="7" spans="1:6" x14ac:dyDescent="0.25">
      <c r="A7" s="1" t="s">
        <v>21</v>
      </c>
      <c r="B7" s="2" t="s">
        <v>42</v>
      </c>
      <c r="C7" s="1" t="s">
        <v>78</v>
      </c>
      <c r="D7" s="6" t="b">
        <v>0</v>
      </c>
      <c r="E7" s="1" t="s">
        <v>89</v>
      </c>
      <c r="F7" s="1" t="str">
        <f t="shared" si="0"/>
        <v>FALSE</v>
      </c>
    </row>
    <row r="8" spans="1:6" x14ac:dyDescent="0.25">
      <c r="A8" s="1" t="s">
        <v>39</v>
      </c>
      <c r="B8" s="2" t="s">
        <v>43</v>
      </c>
      <c r="C8" s="1" t="s">
        <v>77</v>
      </c>
      <c r="D8" s="6" t="b">
        <v>0</v>
      </c>
      <c r="E8" s="1" t="s">
        <v>89</v>
      </c>
      <c r="F8" s="1" t="str">
        <f>IF(C8="Fabaceae","TRUE","FALSE")</f>
        <v>FALSE</v>
      </c>
    </row>
    <row r="9" spans="1:6" x14ac:dyDescent="0.25">
      <c r="A9" s="1" t="s">
        <v>40</v>
      </c>
      <c r="B9" s="2" t="s">
        <v>44</v>
      </c>
      <c r="C9" s="1" t="s">
        <v>87</v>
      </c>
      <c r="D9" s="6" t="b">
        <v>1</v>
      </c>
      <c r="E9" s="1" t="s">
        <v>89</v>
      </c>
      <c r="F9" s="1" t="str">
        <f t="shared" si="0"/>
        <v>FALSE</v>
      </c>
    </row>
    <row r="10" spans="1:6" x14ac:dyDescent="0.25">
      <c r="A10" s="1" t="s">
        <v>6</v>
      </c>
      <c r="B10" s="2" t="s">
        <v>45</v>
      </c>
      <c r="C10" s="1" t="s">
        <v>82</v>
      </c>
      <c r="D10" s="6" t="b">
        <v>0</v>
      </c>
      <c r="E10" s="1" t="s">
        <v>89</v>
      </c>
      <c r="F10" s="1" t="str">
        <f t="shared" si="0"/>
        <v>FALSE</v>
      </c>
    </row>
    <row r="11" spans="1:6" x14ac:dyDescent="0.25">
      <c r="A11" s="1" t="s">
        <v>23</v>
      </c>
      <c r="B11" s="2" t="s">
        <v>46</v>
      </c>
      <c r="C11" s="1" t="s">
        <v>77</v>
      </c>
      <c r="D11" s="6" t="b">
        <v>1</v>
      </c>
      <c r="E11" s="1" t="s">
        <v>89</v>
      </c>
      <c r="F11" s="1" t="str">
        <f t="shared" si="0"/>
        <v>FALSE</v>
      </c>
    </row>
    <row r="12" spans="1:6" x14ac:dyDescent="0.25">
      <c r="A12" s="1" t="s">
        <v>22</v>
      </c>
      <c r="B12" s="2" t="s">
        <v>47</v>
      </c>
      <c r="C12" s="1" t="s">
        <v>78</v>
      </c>
      <c r="D12" s="6" t="b">
        <v>0</v>
      </c>
      <c r="E12" s="1" t="s">
        <v>89</v>
      </c>
      <c r="F12" s="1" t="str">
        <f t="shared" si="0"/>
        <v>FALSE</v>
      </c>
    </row>
    <row r="13" spans="1:6" x14ac:dyDescent="0.25">
      <c r="A13" s="1" t="s">
        <v>36</v>
      </c>
      <c r="B13" s="2" t="s">
        <v>48</v>
      </c>
      <c r="C13" s="1" t="s">
        <v>79</v>
      </c>
      <c r="D13" s="6" t="b">
        <v>0</v>
      </c>
      <c r="E13" s="1" t="s">
        <v>89</v>
      </c>
      <c r="F13" s="1" t="str">
        <f t="shared" si="0"/>
        <v>FALSE</v>
      </c>
    </row>
    <row r="14" spans="1:6" x14ac:dyDescent="0.25">
      <c r="A14" s="1" t="s">
        <v>7</v>
      </c>
      <c r="B14" s="2" t="s">
        <v>49</v>
      </c>
      <c r="C14" s="1" t="s">
        <v>88</v>
      </c>
      <c r="D14" s="6" t="b">
        <v>1</v>
      </c>
      <c r="E14" s="1" t="s">
        <v>89</v>
      </c>
      <c r="F14" s="1" t="str">
        <f t="shared" si="0"/>
        <v>FALSE</v>
      </c>
    </row>
    <row r="15" spans="1:6" x14ac:dyDescent="0.25">
      <c r="A15" s="1" t="s">
        <v>33</v>
      </c>
      <c r="B15" s="2" t="s">
        <v>50</v>
      </c>
      <c r="C15" s="1" t="s">
        <v>78</v>
      </c>
      <c r="D15" s="6" t="b">
        <v>1</v>
      </c>
      <c r="E15" s="1" t="s">
        <v>89</v>
      </c>
      <c r="F15" s="1" t="str">
        <f t="shared" si="0"/>
        <v>FALSE</v>
      </c>
    </row>
    <row r="16" spans="1:6" x14ac:dyDescent="0.25">
      <c r="A16" s="1" t="s">
        <v>34</v>
      </c>
      <c r="B16" s="2" t="s">
        <v>51</v>
      </c>
      <c r="C16" s="1" t="s">
        <v>77</v>
      </c>
      <c r="D16" s="6" t="b">
        <v>0</v>
      </c>
      <c r="E16" s="1" t="s">
        <v>89</v>
      </c>
      <c r="F16" s="1" t="str">
        <f t="shared" si="0"/>
        <v>FALSE</v>
      </c>
    </row>
    <row r="17" spans="1:6" x14ac:dyDescent="0.25">
      <c r="A17" s="1" t="s">
        <v>8</v>
      </c>
      <c r="B17" s="2" t="s">
        <v>52</v>
      </c>
      <c r="C17" s="1" t="s">
        <v>77</v>
      </c>
      <c r="D17" s="6" t="b">
        <v>1</v>
      </c>
      <c r="E17" s="1" t="s">
        <v>89</v>
      </c>
      <c r="F17" s="1" t="str">
        <f t="shared" si="0"/>
        <v>FALSE</v>
      </c>
    </row>
    <row r="18" spans="1:6" x14ac:dyDescent="0.25">
      <c r="A18" s="1" t="s">
        <v>9</v>
      </c>
      <c r="B18" s="2" t="s">
        <v>53</v>
      </c>
      <c r="C18" s="1" t="s">
        <v>74</v>
      </c>
      <c r="D18" s="6" t="b">
        <v>0</v>
      </c>
      <c r="E18" s="1" t="s">
        <v>89</v>
      </c>
      <c r="F18" s="1" t="str">
        <f t="shared" si="0"/>
        <v>TRUE</v>
      </c>
    </row>
    <row r="19" spans="1:6" x14ac:dyDescent="0.25">
      <c r="A19" s="1" t="s">
        <v>10</v>
      </c>
      <c r="B19" s="2" t="s">
        <v>54</v>
      </c>
      <c r="C19" s="1" t="s">
        <v>77</v>
      </c>
      <c r="D19" s="6" t="b">
        <v>0</v>
      </c>
      <c r="E19" s="1" t="s">
        <v>89</v>
      </c>
      <c r="F19" s="1" t="str">
        <f t="shared" si="0"/>
        <v>FALSE</v>
      </c>
    </row>
    <row r="20" spans="1:6" x14ac:dyDescent="0.25">
      <c r="A20" s="1" t="s">
        <v>24</v>
      </c>
      <c r="B20" s="2" t="s">
        <v>55</v>
      </c>
      <c r="C20" s="1" t="s">
        <v>77</v>
      </c>
      <c r="D20" s="6" t="b">
        <v>0</v>
      </c>
      <c r="E20" s="1" t="s">
        <v>89</v>
      </c>
      <c r="F20" s="1" t="str">
        <f t="shared" si="0"/>
        <v>FALSE</v>
      </c>
    </row>
    <row r="21" spans="1:6" x14ac:dyDescent="0.25">
      <c r="A21" s="1" t="s">
        <v>25</v>
      </c>
      <c r="B21" s="2" t="s">
        <v>56</v>
      </c>
      <c r="C21" s="1" t="s">
        <v>77</v>
      </c>
      <c r="D21" s="6" t="b">
        <v>1</v>
      </c>
      <c r="E21" s="1" t="s">
        <v>89</v>
      </c>
      <c r="F21" s="1" t="str">
        <f t="shared" si="0"/>
        <v>FALSE</v>
      </c>
    </row>
    <row r="22" spans="1:6" x14ac:dyDescent="0.25">
      <c r="A22" s="1" t="s">
        <v>26</v>
      </c>
      <c r="B22" s="2" t="s">
        <v>57</v>
      </c>
      <c r="C22" s="1" t="s">
        <v>80</v>
      </c>
      <c r="D22" s="6" t="b">
        <v>0</v>
      </c>
      <c r="E22" s="1" t="s">
        <v>89</v>
      </c>
      <c r="F22" s="1" t="str">
        <f t="shared" si="0"/>
        <v>FALSE</v>
      </c>
    </row>
    <row r="23" spans="1:6" x14ac:dyDescent="0.25">
      <c r="A23" s="1" t="s">
        <v>27</v>
      </c>
      <c r="B23" s="2" t="s">
        <v>58</v>
      </c>
      <c r="C23" s="1" t="s">
        <v>78</v>
      </c>
      <c r="D23" s="6" t="b">
        <v>1</v>
      </c>
      <c r="E23" s="1" t="s">
        <v>89</v>
      </c>
      <c r="F23" s="1" t="str">
        <f t="shared" si="0"/>
        <v>FALSE</v>
      </c>
    </row>
    <row r="24" spans="1:6" x14ac:dyDescent="0.25">
      <c r="A24" s="1" t="s">
        <v>11</v>
      </c>
      <c r="B24" s="2" t="s">
        <v>59</v>
      </c>
      <c r="C24" s="1" t="s">
        <v>77</v>
      </c>
      <c r="D24" s="6" t="b">
        <v>0</v>
      </c>
      <c r="E24" s="1" t="s">
        <v>89</v>
      </c>
      <c r="F24" s="1" t="str">
        <f t="shared" si="0"/>
        <v>FALSE</v>
      </c>
    </row>
    <row r="25" spans="1:6" x14ac:dyDescent="0.25">
      <c r="A25" s="1" t="s">
        <v>12</v>
      </c>
      <c r="B25" s="2" t="s">
        <v>60</v>
      </c>
      <c r="C25" s="1" t="s">
        <v>78</v>
      </c>
      <c r="D25" s="6" t="b">
        <v>0</v>
      </c>
      <c r="E25" s="1" t="s">
        <v>89</v>
      </c>
      <c r="F25" s="1" t="str">
        <f t="shared" si="0"/>
        <v>FALSE</v>
      </c>
    </row>
    <row r="26" spans="1:6" x14ac:dyDescent="0.25">
      <c r="A26" s="1" t="s">
        <v>13</v>
      </c>
      <c r="B26" s="2" t="s">
        <v>61</v>
      </c>
      <c r="C26" s="1" t="s">
        <v>81</v>
      </c>
      <c r="D26" s="6" t="b">
        <v>0</v>
      </c>
      <c r="E26" s="1" t="s">
        <v>89</v>
      </c>
      <c r="F26" s="1" t="str">
        <f t="shared" si="0"/>
        <v>FALSE</v>
      </c>
    </row>
    <row r="27" spans="1:6" x14ac:dyDescent="0.25">
      <c r="A27" s="1" t="s">
        <v>14</v>
      </c>
      <c r="B27" s="2" t="s">
        <v>62</v>
      </c>
      <c r="C27" s="1" t="s">
        <v>82</v>
      </c>
      <c r="D27" s="6" t="b">
        <v>0</v>
      </c>
      <c r="E27" s="1" t="s">
        <v>89</v>
      </c>
      <c r="F27" s="1" t="str">
        <f t="shared" si="0"/>
        <v>FALSE</v>
      </c>
    </row>
    <row r="28" spans="1:6" x14ac:dyDescent="0.25">
      <c r="A28" s="1" t="s">
        <v>15</v>
      </c>
      <c r="B28" s="2" t="s">
        <v>63</v>
      </c>
      <c r="C28" s="1" t="s">
        <v>75</v>
      </c>
      <c r="D28" s="6" t="b">
        <v>0</v>
      </c>
      <c r="E28" s="1" t="s">
        <v>89</v>
      </c>
      <c r="F28" s="1" t="str">
        <f t="shared" si="0"/>
        <v>FALSE</v>
      </c>
    </row>
    <row r="29" spans="1:6" x14ac:dyDescent="0.25">
      <c r="A29" s="1" t="s">
        <v>28</v>
      </c>
      <c r="B29" s="2" t="s">
        <v>64</v>
      </c>
      <c r="C29" s="1" t="s">
        <v>76</v>
      </c>
      <c r="D29" s="6" t="b">
        <v>0</v>
      </c>
      <c r="E29" s="1" t="s">
        <v>89</v>
      </c>
      <c r="F29" s="1" t="str">
        <f t="shared" si="0"/>
        <v>FALSE</v>
      </c>
    </row>
    <row r="30" spans="1:6" x14ac:dyDescent="0.25">
      <c r="A30" s="1" t="s">
        <v>66</v>
      </c>
      <c r="B30" s="2" t="s">
        <v>65</v>
      </c>
      <c r="C30" s="1" t="s">
        <v>83</v>
      </c>
      <c r="D30" s="6" t="b">
        <v>1</v>
      </c>
      <c r="E30" s="1" t="s">
        <v>85</v>
      </c>
      <c r="F30" s="1" t="str">
        <f t="shared" si="0"/>
        <v>FALSE</v>
      </c>
    </row>
    <row r="31" spans="1:6" x14ac:dyDescent="0.25">
      <c r="A31" s="9" t="s">
        <v>29</v>
      </c>
      <c r="B31" s="8" t="s">
        <v>67</v>
      </c>
      <c r="C31" s="1" t="s">
        <v>83</v>
      </c>
      <c r="D31" s="6" t="b">
        <v>0</v>
      </c>
      <c r="E31" s="1" t="s">
        <v>85</v>
      </c>
      <c r="F31" s="1" t="str">
        <f t="shared" si="0"/>
        <v>FALSE</v>
      </c>
    </row>
    <row r="32" spans="1:6" x14ac:dyDescent="0.25">
      <c r="A32" s="1" t="s">
        <v>30</v>
      </c>
      <c r="B32" s="2" t="s">
        <v>68</v>
      </c>
      <c r="C32" s="1" t="s">
        <v>83</v>
      </c>
      <c r="D32" s="6" t="b">
        <v>1</v>
      </c>
      <c r="E32" s="1" t="s">
        <v>85</v>
      </c>
      <c r="F32" s="1" t="str">
        <f t="shared" si="0"/>
        <v>FALSE</v>
      </c>
    </row>
    <row r="33" spans="1:6" x14ac:dyDescent="0.25">
      <c r="A33" s="1" t="s">
        <v>16</v>
      </c>
      <c r="B33" s="2" t="s">
        <v>69</v>
      </c>
      <c r="C33" s="1" t="s">
        <v>83</v>
      </c>
      <c r="D33" s="6" t="b">
        <v>0</v>
      </c>
      <c r="E33" s="1" t="s">
        <v>85</v>
      </c>
      <c r="F33" s="1" t="str">
        <f t="shared" si="0"/>
        <v>FALSE</v>
      </c>
    </row>
    <row r="34" spans="1:6" x14ac:dyDescent="0.25">
      <c r="A34" s="1" t="s">
        <v>17</v>
      </c>
      <c r="B34" s="2" t="s">
        <v>70</v>
      </c>
      <c r="C34" s="1" t="s">
        <v>83</v>
      </c>
      <c r="D34" s="6" t="b">
        <v>1</v>
      </c>
      <c r="E34" s="1" t="s">
        <v>85</v>
      </c>
      <c r="F34" s="1" t="str">
        <f t="shared" si="0"/>
        <v>FALSE</v>
      </c>
    </row>
    <row r="35" spans="1:6" x14ac:dyDescent="0.25">
      <c r="A35" s="1" t="s">
        <v>18</v>
      </c>
      <c r="B35" s="2" t="s">
        <v>71</v>
      </c>
      <c r="C35" s="1" t="s">
        <v>83</v>
      </c>
      <c r="D35" s="6" t="b">
        <v>0</v>
      </c>
      <c r="E35" s="1" t="s">
        <v>85</v>
      </c>
      <c r="F35" s="1" t="str">
        <f t="shared" si="0"/>
        <v>FALSE</v>
      </c>
    </row>
    <row r="36" spans="1:6" x14ac:dyDescent="0.25">
      <c r="A36" s="1" t="s">
        <v>31</v>
      </c>
      <c r="B36" s="2" t="s">
        <v>72</v>
      </c>
      <c r="C36" s="1" t="s">
        <v>83</v>
      </c>
      <c r="D36" s="6" t="b">
        <v>0</v>
      </c>
      <c r="E36" s="1" t="s">
        <v>85</v>
      </c>
      <c r="F36" s="1" t="str">
        <f t="shared" si="0"/>
        <v>FALSE</v>
      </c>
    </row>
    <row r="37" spans="1:6" x14ac:dyDescent="0.25">
      <c r="A37" s="1" t="s">
        <v>32</v>
      </c>
      <c r="B37" s="2" t="s">
        <v>73</v>
      </c>
      <c r="C37" s="1" t="s">
        <v>84</v>
      </c>
      <c r="D37" s="6" t="b">
        <v>0</v>
      </c>
      <c r="E37" s="1" t="s">
        <v>85</v>
      </c>
      <c r="F37" s="1" t="str">
        <f t="shared" si="0"/>
        <v>FALSE</v>
      </c>
    </row>
    <row r="38" spans="1:6" x14ac:dyDescent="0.25">
      <c r="A38" s="1" t="s">
        <v>92</v>
      </c>
      <c r="B38" s="2" t="s">
        <v>93</v>
      </c>
      <c r="C38" s="1" t="s">
        <v>83</v>
      </c>
      <c r="D38" s="6" t="b">
        <v>0</v>
      </c>
      <c r="E38" s="1" t="s">
        <v>85</v>
      </c>
      <c r="F38" s="1" t="str">
        <f t="shared" si="0"/>
        <v>FALSE</v>
      </c>
    </row>
    <row r="39" spans="1:6" x14ac:dyDescent="0.25">
      <c r="A39" s="1" t="s">
        <v>94</v>
      </c>
      <c r="B39" s="2" t="s">
        <v>95</v>
      </c>
      <c r="C39" s="1" t="s">
        <v>83</v>
      </c>
      <c r="D39" s="6" t="b">
        <v>1</v>
      </c>
      <c r="E39" s="1" t="s">
        <v>85</v>
      </c>
      <c r="F39" s="1" t="str">
        <f t="shared" ref="F39" si="1">IF(C39="Fabaceae","TRUE","FALSE")</f>
        <v>FALSE</v>
      </c>
    </row>
    <row r="40" spans="1:6" x14ac:dyDescent="0.25">
      <c r="A40" s="1" t="s">
        <v>96</v>
      </c>
      <c r="B40" s="3" t="s">
        <v>97</v>
      </c>
      <c r="C40" s="1" t="s">
        <v>83</v>
      </c>
      <c r="D40" s="6" t="b">
        <v>0</v>
      </c>
      <c r="E40" s="1" t="s">
        <v>85</v>
      </c>
      <c r="F40" s="1" t="str">
        <f t="shared" ref="F40" si="2">IF(C40="Fabaceae","TRUE","FALSE")</f>
        <v>FALSE</v>
      </c>
    </row>
  </sheetData>
  <dataValidations count="3">
    <dataValidation type="list" allowBlank="1" showInputMessage="1" showErrorMessage="1" sqref="D2:D40" xr:uid="{7DDA6328-E3BB-C042-BEBB-77F8B54CFA16}">
      <formula1>"True, False"</formula1>
    </dataValidation>
    <dataValidation type="list" allowBlank="1" showInputMessage="1" showErrorMessage="1" sqref="C2:C40" xr:uid="{8CE043EC-8D77-E446-B94F-A3D9E4829118}">
      <formula1>"Scrophulariaceae, Amaranthaceae, Juncaceae, Poaceae, Boraginaceae, Polemoniaceae, Apiaceae, Caryophyllaceae, Fabaceae, Boraginaceae, Polygonaceae, Asteraceae, Brassicaceae, Onagraceae"</formula1>
    </dataValidation>
    <dataValidation type="list" allowBlank="1" showInputMessage="1" showErrorMessage="1" sqref="E2:E40" xr:uid="{1734E173-8E77-EB41-917E-18AFF4765E64}">
      <formula1>"Forb, Graminoid, Shrub"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B68D6F0C44AC44AA7D7D98EA303BE5" ma:contentTypeVersion="10" ma:contentTypeDescription="Create a new document." ma:contentTypeScope="" ma:versionID="5ee2c84c17da6c439e63065f20e698a0">
  <xsd:schema xmlns:xsd="http://www.w3.org/2001/XMLSchema" xmlns:xs="http://www.w3.org/2001/XMLSchema" xmlns:p="http://schemas.microsoft.com/office/2006/metadata/properties" xmlns:ns2="e0dd9ad3-02ee-4988-96cc-32ec19bb58de" xmlns:ns3="705b3587-fa16-4aed-b2e3-30bf12d47144" targetNamespace="http://schemas.microsoft.com/office/2006/metadata/properties" ma:root="true" ma:fieldsID="1384afef40b06baa3baac2cca9ba515f" ns2:_="" ns3:_="">
    <xsd:import namespace="e0dd9ad3-02ee-4988-96cc-32ec19bb58de"/>
    <xsd:import namespace="705b3587-fa16-4aed-b2e3-30bf12d471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d3-02ee-4988-96cc-32ec19bb5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d023b0-06f2-48ac-bdf3-902a2de65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b3587-fa16-4aed-b2e3-30bf12d471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39fcaa-78e4-40d4-8c5c-e5ee03e7bbc6}" ma:internalName="TaxCatchAll" ma:showField="CatchAllData" ma:web="705b3587-fa16-4aed-b2e3-30bf12d471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dd9ad3-02ee-4988-96cc-32ec19bb58de">
      <Terms xmlns="http://schemas.microsoft.com/office/infopath/2007/PartnerControls"/>
    </lcf76f155ced4ddcb4097134ff3c332f>
    <TaxCatchAll xmlns="705b3587-fa16-4aed-b2e3-30bf12d47144" xsi:nil="true"/>
  </documentManagement>
</p:properties>
</file>

<file path=customXml/itemProps1.xml><?xml version="1.0" encoding="utf-8"?>
<ds:datastoreItem xmlns:ds="http://schemas.openxmlformats.org/officeDocument/2006/customXml" ds:itemID="{F77153C1-C596-4BA2-AF3A-863415FC13D0}"/>
</file>

<file path=customXml/itemProps2.xml><?xml version="1.0" encoding="utf-8"?>
<ds:datastoreItem xmlns:ds="http://schemas.openxmlformats.org/officeDocument/2006/customXml" ds:itemID="{32B8EBF0-814D-46F8-986F-1A468A6A209C}"/>
</file>

<file path=customXml/itemProps3.xml><?xml version="1.0" encoding="utf-8"?>
<ds:datastoreItem xmlns:ds="http://schemas.openxmlformats.org/officeDocument/2006/customXml" ds:itemID="{24B40716-0286-45D7-9C62-7F23DAB68A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Major</dc:creator>
  <cp:lastModifiedBy>Jay Prakash Singh</cp:lastModifiedBy>
  <dcterms:created xsi:type="dcterms:W3CDTF">2026-03-31T19:09:04Z</dcterms:created>
  <dcterms:modified xsi:type="dcterms:W3CDTF">2026-04-07T18:48:11Z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0x010100F3B68D6F0C44AC44AA7D7D98EA303BE5</vt:lpwstr>
  </property>
</Properties>
</file>